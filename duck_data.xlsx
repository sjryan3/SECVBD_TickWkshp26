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3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hollygaff/Dropbox/1_ODU/teaching/M&amp;S_Life_Sciences/2021/week6_day1/"/>
    </mc:Choice>
  </mc:AlternateContent>
  <xr:revisionPtr revIDLastSave="0" documentId="13_ncr:1_{16212E75-D0D3-DE4E-9754-19454FE18414}" xr6:coauthVersionLast="46" xr6:coauthVersionMax="46" xr10:uidLastSave="{00000000-0000-0000-0000-000000000000}"/>
  <bookViews>
    <workbookView xWindow="560" yWindow="560" windowWidth="32260" windowHeight="202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22" i="1" l="1"/>
  <c r="C21" i="1"/>
  <c r="C19" i="1"/>
  <c r="C4" i="1"/>
  <c r="C5" i="1"/>
  <c r="C6" i="1"/>
  <c r="C7" i="1"/>
  <c r="C8" i="1"/>
  <c r="C9" i="1"/>
  <c r="C10" i="1"/>
  <c r="C11" i="1"/>
  <c r="C12" i="1"/>
  <c r="C13" i="1"/>
  <c r="C14" i="1"/>
  <c r="C17" i="1"/>
  <c r="C18" i="1"/>
  <c r="C3" i="1"/>
</calcChain>
</file>

<file path=xl/sharedStrings.xml><?xml version="1.0" encoding="utf-8"?>
<sst xmlns="http://schemas.openxmlformats.org/spreadsheetml/2006/main" count="27" uniqueCount="17">
  <si>
    <t>Year</t>
  </si>
  <si>
    <t>American Black Duck</t>
  </si>
  <si>
    <t>Green-winged Teal</t>
  </si>
  <si>
    <t>Blue-winged Teal</t>
  </si>
  <si>
    <t>Canada Goose</t>
  </si>
  <si>
    <t>Common merganser</t>
  </si>
  <si>
    <t>Hooded merganser</t>
  </si>
  <si>
    <t>Mallard</t>
  </si>
  <si>
    <t>Mute Swan</t>
  </si>
  <si>
    <t>TODU</t>
  </si>
  <si>
    <t>Wood Duck</t>
  </si>
  <si>
    <t>Grand Total</t>
  </si>
  <si>
    <t>Increase</t>
  </si>
  <si>
    <t>First check</t>
  </si>
  <si>
    <t>Decrease</t>
  </si>
  <si>
    <t>Unsure</t>
  </si>
  <si>
    <t>Growth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</si>
</sst>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zoomScale="150" zoomScaleNormal="150" workbookViewId="0">
      <selection activeCell="A15" sqref="A15:XFD15"/>
    </sheetView>
  </sheetViews>
  <sheetFormatPr baseColWidth="10" defaultRowHeight="16" x14ac:dyDescent="0.2"/>
  <cols>
    <col min="2" max="2" width="18.1640625" bestFit="1" customWidth="1"/>
    <col min="3" max="3" width="18.1640625" customWidth="1"/>
    <col min="4" max="4" width="16.6640625" bestFit="1" customWidth="1"/>
    <col min="5" max="5" width="15.1640625" bestFit="1" customWidth="1"/>
    <col min="6" max="6" width="12.83203125" bestFit="1" customWidth="1"/>
    <col min="7" max="7" width="17.83203125" bestFit="1" customWidth="1"/>
    <col min="8" max="8" width="16.83203125" bestFit="1" customWidth="1"/>
    <col min="9" max="13" width="12.1640625" bestFit="1" customWidth="1"/>
  </cols>
  <sheetData>
    <row r="1" spans="1:13" x14ac:dyDescent="0.2">
      <c r="A1" t="s">
        <v>0</v>
      </c>
      <c r="B1" t="s">
        <v>1</v>
      </c>
      <c r="C1" t="s">
        <v>16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">
      <c r="A2">
        <v>1993</v>
      </c>
      <c r="B2">
        <v>80157.880869999994</v>
      </c>
      <c r="D2">
        <v>24365.671399999999</v>
      </c>
      <c r="E2">
        <v>29070.859400000001</v>
      </c>
      <c r="F2">
        <v>647508.58600000001</v>
      </c>
      <c r="G2">
        <v>52356.385710000002</v>
      </c>
      <c r="H2">
        <v>17819.684689999998</v>
      </c>
      <c r="I2">
        <v>686561.62930000003</v>
      </c>
      <c r="J2">
        <v>21765.871350000001</v>
      </c>
      <c r="K2">
        <v>1158060.2439999999</v>
      </c>
      <c r="L2">
        <v>311923.71759999997</v>
      </c>
      <c r="M2">
        <v>3029590.5303199999</v>
      </c>
    </row>
    <row r="3" spans="1:13" x14ac:dyDescent="0.2">
      <c r="A3">
        <v>1994</v>
      </c>
      <c r="B3">
        <v>60929.838430000003</v>
      </c>
      <c r="C3">
        <f>B3/B2</f>
        <v>0.76012286962545805</v>
      </c>
      <c r="D3">
        <v>19103.39993</v>
      </c>
      <c r="E3">
        <v>25945.2958</v>
      </c>
      <c r="F3">
        <v>648683.64690000005</v>
      </c>
      <c r="G3">
        <v>43950.023970000002</v>
      </c>
      <c r="H3">
        <v>22296.784070000002</v>
      </c>
      <c r="I3">
        <v>856312.93640000001</v>
      </c>
      <c r="J3">
        <v>24779.69154</v>
      </c>
      <c r="K3">
        <v>1297307.6070000001</v>
      </c>
      <c r="L3">
        <v>323284.76760000002</v>
      </c>
      <c r="M3">
        <v>3322593.9916400001</v>
      </c>
    </row>
    <row r="4" spans="1:13" x14ac:dyDescent="0.2">
      <c r="A4">
        <v>1995</v>
      </c>
      <c r="B4">
        <v>72507.363509999996</v>
      </c>
      <c r="C4">
        <f t="shared" ref="C4:C18" si="0">B4/B3</f>
        <v>1.1900140453072261</v>
      </c>
      <c r="D4">
        <v>60950.656239999997</v>
      </c>
      <c r="E4">
        <v>21432.395670000002</v>
      </c>
      <c r="F4">
        <v>780026.92409999995</v>
      </c>
      <c r="G4">
        <v>35403.627039999999</v>
      </c>
      <c r="H4">
        <v>21869.64632</v>
      </c>
      <c r="I4">
        <v>864120.22250000003</v>
      </c>
      <c r="J4">
        <v>12761.457780000001</v>
      </c>
      <c r="K4">
        <v>1408461.933</v>
      </c>
      <c r="L4">
        <v>367018.88419999997</v>
      </c>
      <c r="M4">
        <v>3644553.1103600003</v>
      </c>
    </row>
    <row r="5" spans="1:13" x14ac:dyDescent="0.2">
      <c r="A5">
        <v>1996</v>
      </c>
      <c r="B5">
        <v>77315.920870000002</v>
      </c>
      <c r="C5">
        <f t="shared" si="0"/>
        <v>1.0663181934526804</v>
      </c>
      <c r="D5">
        <v>51174.033280000003</v>
      </c>
      <c r="E5">
        <v>67066.0965</v>
      </c>
      <c r="F5">
        <v>932655.55460000003</v>
      </c>
      <c r="G5">
        <v>17870.428879999999</v>
      </c>
      <c r="H5">
        <v>26016.528979999999</v>
      </c>
      <c r="I5">
        <v>848644.70239999995</v>
      </c>
      <c r="J5">
        <v>9664.9679570000008</v>
      </c>
      <c r="K5">
        <v>1430906.9240000001</v>
      </c>
      <c r="L5">
        <v>344659.44790000003</v>
      </c>
      <c r="M5">
        <v>3805974.6053670002</v>
      </c>
    </row>
    <row r="6" spans="1:13" x14ac:dyDescent="0.2">
      <c r="A6">
        <v>1997</v>
      </c>
      <c r="B6">
        <v>65578.055720000004</v>
      </c>
      <c r="C6">
        <f t="shared" si="0"/>
        <v>0.8481830777164745</v>
      </c>
      <c r="D6">
        <v>31858.883300000001</v>
      </c>
      <c r="E6">
        <v>59598.508090000003</v>
      </c>
      <c r="F6">
        <v>1013324.075</v>
      </c>
      <c r="G6">
        <v>34983.958619999998</v>
      </c>
      <c r="H6">
        <v>22751.406169999998</v>
      </c>
      <c r="I6">
        <v>795176.45389999996</v>
      </c>
      <c r="J6">
        <v>18843.01353</v>
      </c>
      <c r="K6">
        <v>1423481.3829999999</v>
      </c>
      <c r="L6">
        <v>385644.31689999998</v>
      </c>
      <c r="M6">
        <v>3851240.0542299999</v>
      </c>
    </row>
    <row r="7" spans="1:13" x14ac:dyDescent="0.2">
      <c r="A7">
        <v>1998</v>
      </c>
      <c r="B7">
        <v>81688.836869999999</v>
      </c>
      <c r="C7">
        <f t="shared" si="0"/>
        <v>1.2456733578498962</v>
      </c>
      <c r="D7">
        <v>32638.2683</v>
      </c>
      <c r="E7">
        <v>47925.461210000001</v>
      </c>
      <c r="F7">
        <v>970091.50390000001</v>
      </c>
      <c r="G7">
        <v>43899.095150000001</v>
      </c>
      <c r="H7">
        <v>33055.262470000001</v>
      </c>
      <c r="I7">
        <v>775213.30870000005</v>
      </c>
      <c r="J7">
        <v>15116.846369999999</v>
      </c>
      <c r="K7">
        <v>1443980.425</v>
      </c>
      <c r="L7">
        <v>382777.6691</v>
      </c>
      <c r="M7">
        <v>3826386.6770699997</v>
      </c>
    </row>
    <row r="8" spans="1:13" x14ac:dyDescent="0.2">
      <c r="A8">
        <v>1999</v>
      </c>
      <c r="B8">
        <v>82421.042199999996</v>
      </c>
      <c r="C8">
        <f t="shared" si="0"/>
        <v>1.0089633462545835</v>
      </c>
      <c r="D8">
        <v>55747.49697</v>
      </c>
      <c r="E8">
        <v>33079.713040000002</v>
      </c>
      <c r="F8">
        <v>999516.65630000003</v>
      </c>
      <c r="G8">
        <v>50604.420400000003</v>
      </c>
      <c r="H8">
        <v>27175.45694</v>
      </c>
      <c r="I8">
        <v>879952.79040000006</v>
      </c>
      <c r="J8">
        <v>16356.032139999999</v>
      </c>
      <c r="K8">
        <v>1522687.4169999999</v>
      </c>
      <c r="L8">
        <v>402170.04009999998</v>
      </c>
      <c r="M8">
        <v>4069711.0654899995</v>
      </c>
    </row>
    <row r="9" spans="1:13" x14ac:dyDescent="0.2">
      <c r="A9">
        <v>2000</v>
      </c>
      <c r="B9">
        <v>87008.70667</v>
      </c>
      <c r="C9">
        <f t="shared" si="0"/>
        <v>1.0556613256462801</v>
      </c>
      <c r="D9">
        <v>75761.73242</v>
      </c>
      <c r="E9">
        <v>29531.54996</v>
      </c>
      <c r="F9">
        <v>1022299.121</v>
      </c>
      <c r="G9">
        <v>37684.980459999999</v>
      </c>
      <c r="H9">
        <v>24941.48921</v>
      </c>
      <c r="I9">
        <v>762555.34640000004</v>
      </c>
      <c r="J9">
        <v>16883.271629999999</v>
      </c>
      <c r="K9">
        <v>1933520.175</v>
      </c>
      <c r="L9">
        <v>376212.10600000003</v>
      </c>
      <c r="M9">
        <v>4366398.4787499998</v>
      </c>
    </row>
    <row r="10" spans="1:13" x14ac:dyDescent="0.2">
      <c r="A10">
        <v>2001</v>
      </c>
      <c r="B10">
        <v>69626.939369999993</v>
      </c>
      <c r="C10">
        <f t="shared" si="0"/>
        <v>0.80022956362373887</v>
      </c>
      <c r="D10">
        <v>42110.47767</v>
      </c>
      <c r="E10">
        <v>20081.323980000001</v>
      </c>
      <c r="F10">
        <v>1016629.356</v>
      </c>
      <c r="G10">
        <v>39387.056219999999</v>
      </c>
      <c r="H10">
        <v>26400.59692</v>
      </c>
      <c r="I10">
        <v>809438.25</v>
      </c>
      <c r="J10">
        <v>11832.186659999999</v>
      </c>
      <c r="K10">
        <v>1397360.794</v>
      </c>
      <c r="L10">
        <v>388203.75589999999</v>
      </c>
      <c r="M10">
        <v>3821070.7367199995</v>
      </c>
    </row>
    <row r="11" spans="1:13" x14ac:dyDescent="0.2">
      <c r="A11">
        <v>2002</v>
      </c>
      <c r="B11">
        <v>68702.319889999999</v>
      </c>
      <c r="C11">
        <f t="shared" si="0"/>
        <v>0.98672037736591389</v>
      </c>
      <c r="D11">
        <v>17231.550620000002</v>
      </c>
      <c r="E11">
        <v>20707.675360000001</v>
      </c>
      <c r="F11">
        <v>965705.64659999998</v>
      </c>
      <c r="G11">
        <v>43417.091540000001</v>
      </c>
      <c r="H11">
        <v>22477.8642</v>
      </c>
      <c r="I11">
        <v>833668.96990000003</v>
      </c>
      <c r="J11">
        <v>13850.34194</v>
      </c>
      <c r="K11">
        <v>1466218.915</v>
      </c>
      <c r="L11">
        <v>420163.3786</v>
      </c>
      <c r="M11">
        <v>3872143.7536499999</v>
      </c>
    </row>
    <row r="12" spans="1:13" x14ac:dyDescent="0.2">
      <c r="A12">
        <v>2003</v>
      </c>
      <c r="B12">
        <v>64897.814480000001</v>
      </c>
      <c r="C12">
        <f t="shared" si="0"/>
        <v>0.94462333417428357</v>
      </c>
      <c r="D12">
        <v>60172.611550000001</v>
      </c>
      <c r="E12">
        <v>33948.352400000003</v>
      </c>
      <c r="F12">
        <v>1040473.723</v>
      </c>
      <c r="G12">
        <v>45652.969109999998</v>
      </c>
      <c r="H12">
        <v>28878.159469999999</v>
      </c>
      <c r="I12">
        <v>731906.86670000001</v>
      </c>
      <c r="J12">
        <v>14368.47594</v>
      </c>
      <c r="K12">
        <v>1266173.78</v>
      </c>
      <c r="L12">
        <v>341944.92060000001</v>
      </c>
      <c r="M12">
        <v>3628417.67325</v>
      </c>
    </row>
    <row r="13" spans="1:13" x14ac:dyDescent="0.2">
      <c r="A13">
        <v>2004</v>
      </c>
      <c r="B13">
        <v>53890.632850000002</v>
      </c>
      <c r="C13">
        <f t="shared" si="0"/>
        <v>0.83039210614107573</v>
      </c>
      <c r="D13">
        <v>55016.160259999997</v>
      </c>
      <c r="E13">
        <v>39343.625</v>
      </c>
      <c r="F13">
        <v>978553.58510000003</v>
      </c>
      <c r="G13">
        <v>42843.54825</v>
      </c>
      <c r="H13">
        <v>41883.578110000002</v>
      </c>
      <c r="I13">
        <v>805935.07819999999</v>
      </c>
      <c r="J13">
        <v>21208.174749999998</v>
      </c>
      <c r="K13">
        <v>1416855.929</v>
      </c>
      <c r="L13">
        <v>359903.52140000003</v>
      </c>
      <c r="M13">
        <v>3815433.83292</v>
      </c>
    </row>
    <row r="14" spans="1:13" x14ac:dyDescent="0.2">
      <c r="A14">
        <v>2005</v>
      </c>
      <c r="B14">
        <v>49745.486550000001</v>
      </c>
      <c r="C14">
        <f t="shared" si="0"/>
        <v>0.92308224860640131</v>
      </c>
      <c r="D14">
        <v>36320.705849999998</v>
      </c>
      <c r="E14">
        <v>19065.695749999999</v>
      </c>
      <c r="F14">
        <v>1064695.8389999999</v>
      </c>
      <c r="G14">
        <v>40419.677989999996</v>
      </c>
      <c r="H14">
        <v>43034.613089999999</v>
      </c>
      <c r="I14">
        <v>753621.71429999999</v>
      </c>
      <c r="J14">
        <v>12614.09367</v>
      </c>
      <c r="K14">
        <v>1416238.4990000001</v>
      </c>
      <c r="L14">
        <v>413558.42580000003</v>
      </c>
      <c r="M14">
        <v>3849314.7510000002</v>
      </c>
    </row>
    <row r="15" spans="1:13" x14ac:dyDescent="0.2">
      <c r="A15">
        <v>2006</v>
      </c>
      <c r="B15">
        <v>907.26599999999996</v>
      </c>
      <c r="D15">
        <v>665.35400000000004</v>
      </c>
      <c r="E15">
        <v>493.87400000000002</v>
      </c>
      <c r="F15">
        <v>714.50099999999998</v>
      </c>
      <c r="G15">
        <v>232.501</v>
      </c>
      <c r="H15">
        <v>563.11800000000005</v>
      </c>
      <c r="I15">
        <v>742.12900000000002</v>
      </c>
      <c r="J15">
        <v>183.74700000000001</v>
      </c>
      <c r="L15">
        <v>578.28099999999995</v>
      </c>
      <c r="M15">
        <v>5080.7710000000006</v>
      </c>
    </row>
    <row r="16" spans="1:13" x14ac:dyDescent="0.2">
      <c r="A16">
        <v>2007</v>
      </c>
      <c r="B16">
        <v>62354.856148999999</v>
      </c>
      <c r="D16">
        <v>55108.062518999999</v>
      </c>
      <c r="E16">
        <v>42504.982749000003</v>
      </c>
      <c r="F16">
        <v>1046066.6448</v>
      </c>
      <c r="G16">
        <v>49230.316164000003</v>
      </c>
      <c r="H16">
        <v>43121.132748999997</v>
      </c>
      <c r="I16">
        <v>687577.74678000004</v>
      </c>
      <c r="J16">
        <v>17063.995733</v>
      </c>
      <c r="K16">
        <v>1500419.4602999999</v>
      </c>
      <c r="L16">
        <v>420574.29661000002</v>
      </c>
      <c r="M16">
        <v>3924021.4945530002</v>
      </c>
    </row>
    <row r="17" spans="1:13" x14ac:dyDescent="0.2">
      <c r="A17">
        <v>2008</v>
      </c>
      <c r="B17">
        <v>65120.670382999997</v>
      </c>
      <c r="C17">
        <f t="shared" si="0"/>
        <v>1.0443560358377053</v>
      </c>
      <c r="D17">
        <v>43995.304928999998</v>
      </c>
      <c r="E17">
        <v>15115.748259</v>
      </c>
      <c r="F17">
        <v>951500.79575000005</v>
      </c>
      <c r="G17">
        <v>39515.249187000001</v>
      </c>
      <c r="H17">
        <v>31197.089930999999</v>
      </c>
      <c r="I17">
        <v>619094.87115000002</v>
      </c>
      <c r="J17">
        <v>21250.837246999999</v>
      </c>
      <c r="K17">
        <v>1197150.5094000001</v>
      </c>
      <c r="L17">
        <v>386126.76341999997</v>
      </c>
      <c r="M17">
        <v>3370067.839656</v>
      </c>
    </row>
    <row r="18" spans="1:13" x14ac:dyDescent="0.2">
      <c r="A18">
        <v>2009</v>
      </c>
      <c r="B18">
        <v>39523.490417000001</v>
      </c>
      <c r="C18">
        <f t="shared" si="0"/>
        <v>0.60692695859159584</v>
      </c>
      <c r="D18">
        <v>67003.478669000004</v>
      </c>
      <c r="E18">
        <v>23143.130701999999</v>
      </c>
      <c r="F18">
        <v>943273.94524999999</v>
      </c>
      <c r="G18">
        <v>40615.256251999999</v>
      </c>
      <c r="H18">
        <v>25019.221912000001</v>
      </c>
      <c r="I18">
        <v>666752.40683999995</v>
      </c>
      <c r="J18">
        <v>21858.630354000001</v>
      </c>
      <c r="K18">
        <v>1271121.7010999999</v>
      </c>
      <c r="L18">
        <v>367998.38858000003</v>
      </c>
      <c r="M18">
        <v>3466309.650076</v>
      </c>
    </row>
    <row r="19" spans="1:13" x14ac:dyDescent="0.2">
      <c r="A19" t="s">
        <v>11</v>
      </c>
      <c r="B19">
        <v>1082377.1212290002</v>
      </c>
      <c r="C19">
        <f>B18/B2</f>
        <v>0.49307055011969658</v>
      </c>
      <c r="D19">
        <v>729223.8479070001</v>
      </c>
      <c r="E19">
        <v>528054.28787000012</v>
      </c>
      <c r="F19">
        <v>15021720.1043</v>
      </c>
      <c r="G19">
        <v>658066.58594299993</v>
      </c>
      <c r="H19">
        <v>458501.63323200005</v>
      </c>
      <c r="I19">
        <v>12377275.422870001</v>
      </c>
      <c r="J19">
        <v>270401.63559100003</v>
      </c>
      <c r="K19">
        <v>22549945.695799999</v>
      </c>
      <c r="L19">
        <v>5992742.6813099999</v>
      </c>
      <c r="M19">
        <v>59668309.016052</v>
      </c>
    </row>
    <row r="20" spans="1:13" x14ac:dyDescent="0.2">
      <c r="A20" t="s">
        <v>13</v>
      </c>
      <c r="B20" t="s">
        <v>12</v>
      </c>
      <c r="C20" t="s">
        <v>14</v>
      </c>
      <c r="D20" t="s">
        <v>12</v>
      </c>
      <c r="E20" t="s">
        <v>14</v>
      </c>
      <c r="F20" t="s">
        <v>12</v>
      </c>
      <c r="G20" t="s">
        <v>15</v>
      </c>
      <c r="H20" t="s">
        <v>12</v>
      </c>
      <c r="I20" t="s">
        <v>14</v>
      </c>
      <c r="J20" t="s">
        <v>15</v>
      </c>
      <c r="K20" t="s">
        <v>14</v>
      </c>
      <c r="L20" t="s">
        <v>12</v>
      </c>
      <c r="M20" t="s">
        <v>15</v>
      </c>
    </row>
    <row r="21" spans="1:13" x14ac:dyDescent="0.2">
      <c r="C21">
        <f>AVERAGE(C3:C18)</f>
        <v>0.95080477429952237</v>
      </c>
    </row>
    <row r="22" spans="1:13" x14ac:dyDescent="0.2">
      <c r="C22">
        <f>GEOMEAN(C3:C18)</f>
        <v>0.93552760011210645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Old Dominion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Holly Gaff</dc:creator>
  <cp:lastModifiedBy>Microsoft Office User</cp:lastModifiedBy>
  <dcterms:created xsi:type="dcterms:W3CDTF">2013-01-12T01:38:00Z</dcterms:created>
  <dcterms:modified xsi:type="dcterms:W3CDTF">2021-02-22T16:47:36Z</dcterms:modified>
</cp:coreProperties>
</file>